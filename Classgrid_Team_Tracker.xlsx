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am Tracker" sheetId="1" state="visible" r:id="rId1"/>
    <sheet xmlns:r="http://schemas.openxmlformats.org/officeDocument/2006/relationships" name="Dept Summary" sheetId="2" state="visible" r:id="rId2"/>
  </sheets>
  <definedNames>
    <definedName name="_xlnm._FilterDatabase" localSheetId="0" hidden="1">'Team Tracker'!$A$1:$H$51</definedName>
    <definedName name="_xlnm.Print_Titles" localSheetId="0">'Team Tracker'!$1:$1</definedName>
    <definedName name="_xlnm.Print_Area" localSheetId="0">'Team Tracker'!$A$1:$H$51</definedName>
    <definedName name="_xlnm.Print_Area" localSheetId="1">'Dept Summary'!$A$1:$H$30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dd-mmm-yyyy"/>
    <numFmt numFmtId="165" formatCode="₹#,##0"/>
  </numFmts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FFFFFF"/>
    </font>
    <font>
      <b val="1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75B6"/>
      </patternFill>
    </fill>
    <fill>
      <patternFill patternType="solid">
        <fgColor rgb="00DDEBF7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/>
    </xf>
    <xf numFmtId="0" fontId="0" fillId="0" borderId="1" pivotButton="0" quotePrefix="0" xfId="0"/>
    <xf numFmtId="164" fontId="0" fillId="0" borderId="1" pivotButton="0" quotePrefix="0" xfId="0"/>
    <xf numFmtId="165" fontId="0" fillId="0" borderId="1" pivotButton="0" quotePrefix="0" xfId="0"/>
    <xf numFmtId="165" fontId="0" fillId="0" borderId="0" pivotButton="0" quotePrefix="0" xfId="0"/>
    <xf numFmtId="0" fontId="3" fillId="4" borderId="0" pivotButton="0" quotePrefix="0" xfId="0"/>
    <xf numFmtId="165" fontId="3" fillId="4" borderId="0" pivotButton="0" quotePrefix="0" xfId="0"/>
    <xf numFmtId="164" fontId="0" fillId="0" borderId="1" pivotButton="0" quotePrefix="0" xfId="0"/>
    <xf numFmtId="165" fontId="0" fillId="0" borderId="1" pivotButton="0" quotePrefix="0" xfId="0"/>
    <xf numFmtId="165" fontId="0" fillId="0" borderId="0" pivotButton="0" quotePrefix="0" xfId="0"/>
    <xf numFmtId="165" fontId="3" fillId="4" borderId="0" pivotButton="0" quotePrefix="0" xfId="0"/>
    <xf numFmtId="0" fontId="2" fillId="2" borderId="0" applyAlignment="1" pivotButton="0" quotePrefix="0" xfId="0">
      <alignment horizontal="center"/>
    </xf>
  </cellXfs>
  <cellStyles count="1">
    <cellStyle name="Normal" xfId="0" builtinId="0" hidden="0"/>
  </cellStyles>
  <dxfs count="3">
    <dxf>
      <font>
        <b val="1"/>
        <color rgb="00006100"/>
      </font>
      <fill>
        <patternFill patternType="solid">
          <fgColor rgb="00C6EFCE"/>
        </patternFill>
      </fill>
    </dxf>
    <dxf>
      <font>
        <b val="1"/>
        <color rgb="009C6500"/>
      </font>
      <fill>
        <patternFill patternType="solid">
          <fgColor rgb="00FFEB9C"/>
        </patternFill>
      </fill>
    </dxf>
    <dxf>
      <font>
        <b val="1"/>
        <color rgb="009C0006"/>
      </font>
      <fill>
        <patternFill patternType="solid">
          <fgColor rgb="00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Average Monthly Salary by Department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'Team Tracker'!L1</f>
            </strRef>
          </tx>
          <spPr>
            <a:ln xmlns:a="http://schemas.openxmlformats.org/drawingml/2006/main">
              <a:prstDash val="solid"/>
            </a:ln>
          </spPr>
          <cat>
            <numRef>
              <f>'Team Tracker'!$J$2:$J$6</f>
            </numRef>
          </cat>
          <val>
            <numRef>
              <f>'Team Tracker'!$L$2:$L$6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Department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Average Salary (₹)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Average Monthly Salary by Department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'Dept Summary'!C1</f>
            </strRef>
          </tx>
          <spPr>
            <a:ln xmlns:a="http://schemas.openxmlformats.org/drawingml/2006/main">
              <a:prstDash val="solid"/>
            </a:ln>
          </spPr>
          <cat>
            <numRef>
              <f>'Dept Summary'!$A$2:$A$6</f>
            </numRef>
          </cat>
          <val>
            <numRef>
              <f>'Dept Summary'!$C$2:$C$6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Department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Average Salary (₹)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/Relationships>
</file>

<file path=xl/drawings/drawing1.xml><?xml version="1.0" encoding="utf-8"?>
<wsDr xmlns="http://schemas.openxmlformats.org/drawingml/2006/spreadsheetDrawing">
  <oneCellAnchor>
    <from>
      <col>9</col>
      <colOff>0</colOff>
      <row>9</row>
      <rowOff>0</rowOff>
    </from>
    <ext cx="6480000" cy="32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0</col>
      <colOff>0</colOff>
      <row>9</row>
      <rowOff>0</rowOff>
    </from>
    <ext cx="720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M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5" customWidth="1" min="2" max="2"/>
    <col width="26" customWidth="1" min="3" max="3"/>
    <col width="14" customWidth="1" min="4" max="4"/>
    <col width="16" customWidth="1" min="5" max="5"/>
    <col width="9" customWidth="1" min="6" max="6"/>
    <col width="13" customWidth="1" min="7" max="7"/>
    <col width="13" customWidth="1" min="8" max="8"/>
    <col width="3" customWidth="1" min="9" max="9"/>
    <col width="15" customWidth="1" min="10" max="10"/>
    <col width="16" customWidth="1" min="11" max="11"/>
    <col width="17" customWidth="1" min="12" max="12"/>
    <col width="12" customWidth="1" min="13" max="13"/>
  </cols>
  <sheetData>
    <row r="1" ht="24" customHeight="1">
      <c r="A1" s="1" t="inlineStr">
        <is>
          <t>Name</t>
        </is>
      </c>
      <c r="B1" s="1" t="inlineStr">
        <is>
          <t>Department</t>
        </is>
      </c>
      <c r="C1" s="1" t="inlineStr">
        <is>
          <t>Role</t>
        </is>
      </c>
      <c r="D1" s="1" t="inlineStr">
        <is>
          <t>Joining Date</t>
        </is>
      </c>
      <c r="E1" s="1" t="inlineStr">
        <is>
          <t>Monthly Salary</t>
        </is>
      </c>
      <c r="F1" s="1" t="inlineStr">
        <is>
          <t>Rating</t>
        </is>
      </c>
      <c r="G1" s="1" t="inlineStr">
        <is>
          <t>City</t>
        </is>
      </c>
      <c r="H1" s="1" t="inlineStr">
        <is>
          <t>Bonus</t>
        </is>
      </c>
      <c r="J1" s="2" t="inlineStr">
        <is>
          <t>Department</t>
        </is>
      </c>
      <c r="K1" s="2" t="inlineStr">
        <is>
          <t>Total Salary</t>
        </is>
      </c>
      <c r="L1" s="2" t="inlineStr">
        <is>
          <t>Average Salary</t>
        </is>
      </c>
      <c r="M1" s="2" t="inlineStr">
        <is>
          <t>Headcount</t>
        </is>
      </c>
    </row>
    <row r="2">
      <c r="A2" s="3" t="inlineStr">
        <is>
          <t>Aarav Kulkarni</t>
        </is>
      </c>
      <c r="B2" s="3" t="inlineStr">
        <is>
          <t>Engineering</t>
        </is>
      </c>
      <c r="C2" s="3" t="inlineStr">
        <is>
          <t>QA Engineer</t>
        </is>
      </c>
      <c r="D2" s="9" t="n">
        <v>45963</v>
      </c>
      <c r="E2" s="10" t="n">
        <v>70000</v>
      </c>
      <c r="F2" s="3" t="n">
        <v>5</v>
      </c>
      <c r="G2" s="3" t="inlineStr">
        <is>
          <t>Pune</t>
        </is>
      </c>
      <c r="H2" s="10">
        <f>IF(F2&gt;=4,E2*0.1,0)</f>
        <v/>
      </c>
      <c r="J2" t="inlineStr">
        <is>
          <t>Engineering</t>
        </is>
      </c>
      <c r="K2" s="11">
        <f>SUMIF($B$2:$B$51,J2,$E$2:$E$51)</f>
        <v/>
      </c>
      <c r="L2" s="11">
        <f>AVERAGEIF($B$2:$B$51,J2,$E$2:$E$51)</f>
        <v/>
      </c>
      <c r="M2">
        <f>COUNTIF($B$2:$B$51,J2)</f>
        <v/>
      </c>
    </row>
    <row r="3">
      <c r="A3" s="3" t="inlineStr">
        <is>
          <t>Riya Shetty</t>
        </is>
      </c>
      <c r="B3" s="3" t="inlineStr">
        <is>
          <t>Sales</t>
        </is>
      </c>
      <c r="C3" s="3" t="inlineStr">
        <is>
          <t>Inside Sales Rep</t>
        </is>
      </c>
      <c r="D3" s="9" t="n">
        <v>43715</v>
      </c>
      <c r="E3" s="10" t="n">
        <v>40000</v>
      </c>
      <c r="F3" s="3" t="n">
        <v>2</v>
      </c>
      <c r="G3" s="3" t="inlineStr">
        <is>
          <t>Hyderabad</t>
        </is>
      </c>
      <c r="H3" s="10">
        <f>IF(F3&gt;=4,E3*0.1,0)</f>
        <v/>
      </c>
      <c r="J3" t="inlineStr">
        <is>
          <t>Sales</t>
        </is>
      </c>
      <c r="K3" s="11">
        <f>SUMIF($B$2:$B$51,J3,$E$2:$E$51)</f>
        <v/>
      </c>
      <c r="L3" s="11">
        <f>AVERAGEIF($B$2:$B$51,J3,$E$2:$E$51)</f>
        <v/>
      </c>
      <c r="M3">
        <f>COUNTIF($B$2:$B$51,J3)</f>
        <v/>
      </c>
    </row>
    <row r="4">
      <c r="A4" s="3" t="inlineStr">
        <is>
          <t>Kabir Nair</t>
        </is>
      </c>
      <c r="B4" s="3" t="inlineStr">
        <is>
          <t>Marketing</t>
        </is>
      </c>
      <c r="C4" s="3" t="inlineStr">
        <is>
          <t>Content Writer</t>
        </is>
      </c>
      <c r="D4" s="9" t="n">
        <v>44088</v>
      </c>
      <c r="E4" s="10" t="n">
        <v>47500</v>
      </c>
      <c r="F4" s="3" t="n">
        <v>5</v>
      </c>
      <c r="G4" s="3" t="inlineStr">
        <is>
          <t>Pune</t>
        </is>
      </c>
      <c r="H4" s="10">
        <f>IF(F4&gt;=4,E4*0.1,0)</f>
        <v/>
      </c>
      <c r="J4" t="inlineStr">
        <is>
          <t>Marketing</t>
        </is>
      </c>
      <c r="K4" s="11">
        <f>SUMIF($B$2:$B$51,J4,$E$2:$E$51)</f>
        <v/>
      </c>
      <c r="L4" s="11">
        <f>AVERAGEIF($B$2:$B$51,J4,$E$2:$E$51)</f>
        <v/>
      </c>
      <c r="M4">
        <f>COUNTIF($B$2:$B$51,J4)</f>
        <v/>
      </c>
    </row>
    <row r="5">
      <c r="A5" s="3" t="inlineStr">
        <is>
          <t>Ananya Shetty</t>
        </is>
      </c>
      <c r="B5" s="3" t="inlineStr">
        <is>
          <t>HR</t>
        </is>
      </c>
      <c r="C5" s="3" t="inlineStr">
        <is>
          <t>Recruiter</t>
        </is>
      </c>
      <c r="D5" s="9" t="n">
        <v>43757</v>
      </c>
      <c r="E5" s="10" t="n">
        <v>65000</v>
      </c>
      <c r="F5" s="3" t="n">
        <v>1</v>
      </c>
      <c r="G5" s="3" t="inlineStr">
        <is>
          <t>Mumbai</t>
        </is>
      </c>
      <c r="H5" s="10">
        <f>IF(F5&gt;=4,E5*0.1,0)</f>
        <v/>
      </c>
      <c r="J5" t="inlineStr">
        <is>
          <t>HR</t>
        </is>
      </c>
      <c r="K5" s="11">
        <f>SUMIF($B$2:$B$51,J5,$E$2:$E$51)</f>
        <v/>
      </c>
      <c r="L5" s="11">
        <f>AVERAGEIF($B$2:$B$51,J5,$E$2:$E$51)</f>
        <v/>
      </c>
      <c r="M5">
        <f>COUNTIF($B$2:$B$51,J5)</f>
        <v/>
      </c>
    </row>
    <row r="6">
      <c r="A6" s="3" t="inlineStr">
        <is>
          <t>Vivaan Pawar</t>
        </is>
      </c>
      <c r="B6" s="3" t="inlineStr">
        <is>
          <t>Finance</t>
        </is>
      </c>
      <c r="C6" s="3" t="inlineStr">
        <is>
          <t>Accounts Executive</t>
        </is>
      </c>
      <c r="D6" s="9" t="n">
        <v>44330</v>
      </c>
      <c r="E6" s="10" t="n">
        <v>67500</v>
      </c>
      <c r="F6" s="3" t="n">
        <v>4</v>
      </c>
      <c r="G6" s="3" t="inlineStr">
        <is>
          <t>Delhi</t>
        </is>
      </c>
      <c r="H6" s="10">
        <f>IF(F6&gt;=4,E6*0.1,0)</f>
        <v/>
      </c>
      <c r="J6" t="inlineStr">
        <is>
          <t>Finance</t>
        </is>
      </c>
      <c r="K6" s="11">
        <f>SUMIF($B$2:$B$51,J6,$E$2:$E$51)</f>
        <v/>
      </c>
      <c r="L6" s="11">
        <f>AVERAGEIF($B$2:$B$51,J6,$E$2:$E$51)</f>
        <v/>
      </c>
      <c r="M6">
        <f>COUNTIF($B$2:$B$51,J6)</f>
        <v/>
      </c>
    </row>
    <row r="7">
      <c r="A7" s="3" t="inlineStr">
        <is>
          <t>Isha Pawar</t>
        </is>
      </c>
      <c r="B7" s="3" t="inlineStr">
        <is>
          <t>Engineering</t>
        </is>
      </c>
      <c r="C7" s="3" t="inlineStr">
        <is>
          <t>QA Engineer</t>
        </is>
      </c>
      <c r="D7" s="9" t="n">
        <v>44246</v>
      </c>
      <c r="E7" s="10" t="n">
        <v>150000</v>
      </c>
      <c r="F7" s="3" t="n">
        <v>4</v>
      </c>
      <c r="G7" s="3" t="inlineStr">
        <is>
          <t>Bengaluru</t>
        </is>
      </c>
      <c r="H7" s="10">
        <f>IF(F7&gt;=4,E7*0.1,0)</f>
        <v/>
      </c>
      <c r="J7" s="7" t="inlineStr">
        <is>
          <t>Grand Total</t>
        </is>
      </c>
      <c r="K7" s="12">
        <f>SUM(K2:K6)</f>
        <v/>
      </c>
      <c r="L7" s="12">
        <f>AVERAGE(E2:E51)</f>
        <v/>
      </c>
      <c r="M7" s="7">
        <f>SUM(M2:M6)</f>
        <v/>
      </c>
    </row>
    <row r="8">
      <c r="A8" s="3" t="inlineStr">
        <is>
          <t>Rohan Pawar</t>
        </is>
      </c>
      <c r="B8" s="3" t="inlineStr">
        <is>
          <t>Sales</t>
        </is>
      </c>
      <c r="C8" s="3" t="inlineStr">
        <is>
          <t>Sales Executive</t>
        </is>
      </c>
      <c r="D8" s="9" t="n">
        <v>44106</v>
      </c>
      <c r="E8" s="10" t="n">
        <v>67500</v>
      </c>
      <c r="F8" s="3" t="n">
        <v>4</v>
      </c>
      <c r="G8" s="3" t="inlineStr">
        <is>
          <t>Delhi</t>
        </is>
      </c>
      <c r="H8" s="10">
        <f>IF(F8&gt;=4,E8*0.1,0)</f>
        <v/>
      </c>
    </row>
    <row r="9">
      <c r="A9" s="3" t="inlineStr">
        <is>
          <t>Sneha Rao</t>
        </is>
      </c>
      <c r="B9" s="3" t="inlineStr">
        <is>
          <t>Marketing</t>
        </is>
      </c>
      <c r="C9" s="3" t="inlineStr">
        <is>
          <t>Brand Manager</t>
        </is>
      </c>
      <c r="D9" s="9" t="n">
        <v>46310</v>
      </c>
      <c r="E9" s="10" t="n">
        <v>97500</v>
      </c>
      <c r="F9" s="3" t="n">
        <v>3</v>
      </c>
      <c r="G9" s="3" t="inlineStr">
        <is>
          <t>Chennai</t>
        </is>
      </c>
      <c r="H9" s="10">
        <f>IF(F9&gt;=4,E9*0.1,0)</f>
        <v/>
      </c>
    </row>
    <row r="10">
      <c r="A10" s="3" t="inlineStr">
        <is>
          <t>Aditya Nair</t>
        </is>
      </c>
      <c r="B10" s="3" t="inlineStr">
        <is>
          <t>HR</t>
        </is>
      </c>
      <c r="C10" s="3" t="inlineStr">
        <is>
          <t>Recruiter</t>
        </is>
      </c>
      <c r="D10" s="9" t="n">
        <v>44114</v>
      </c>
      <c r="E10" s="10" t="n">
        <v>75000</v>
      </c>
      <c r="F10" s="3" t="n">
        <v>4</v>
      </c>
      <c r="G10" s="3" t="inlineStr">
        <is>
          <t>Bengaluru</t>
        </is>
      </c>
      <c r="H10" s="10">
        <f>IF(F10&gt;=4,E10*0.1,0)</f>
        <v/>
      </c>
    </row>
    <row r="11">
      <c r="A11" s="3" t="inlineStr">
        <is>
          <t>Priya Gupta</t>
        </is>
      </c>
      <c r="B11" s="3" t="inlineStr">
        <is>
          <t>Finance</t>
        </is>
      </c>
      <c r="C11" s="3" t="inlineStr">
        <is>
          <t>Finance Manager</t>
        </is>
      </c>
      <c r="D11" s="9" t="n">
        <v>43878</v>
      </c>
      <c r="E11" s="10" t="n">
        <v>110000</v>
      </c>
      <c r="F11" s="3" t="n">
        <v>3</v>
      </c>
      <c r="G11" s="3" t="inlineStr">
        <is>
          <t>Bengaluru</t>
        </is>
      </c>
      <c r="H11" s="10">
        <f>IF(F11&gt;=4,E11*0.1,0)</f>
        <v/>
      </c>
    </row>
    <row r="12">
      <c r="A12" s="3" t="inlineStr">
        <is>
          <t>Arjun Menon</t>
        </is>
      </c>
      <c r="B12" s="3" t="inlineStr">
        <is>
          <t>Engineering</t>
        </is>
      </c>
      <c r="C12" s="3" t="inlineStr">
        <is>
          <t>Senior Software Engineer</t>
        </is>
      </c>
      <c r="D12" s="9" t="n">
        <v>45679</v>
      </c>
      <c r="E12" s="10" t="n">
        <v>70000</v>
      </c>
      <c r="F12" s="3" t="n">
        <v>5</v>
      </c>
      <c r="G12" s="3" t="inlineStr">
        <is>
          <t>Delhi</t>
        </is>
      </c>
      <c r="H12" s="10">
        <f>IF(F12&gt;=4,E12*0.1,0)</f>
        <v/>
      </c>
    </row>
    <row r="13">
      <c r="A13" s="3" t="inlineStr">
        <is>
          <t>Neha Rao</t>
        </is>
      </c>
      <c r="B13" s="3" t="inlineStr">
        <is>
          <t>Sales</t>
        </is>
      </c>
      <c r="C13" s="3" t="inlineStr">
        <is>
          <t>Inside Sales Rep</t>
        </is>
      </c>
      <c r="D13" s="9" t="n">
        <v>45581</v>
      </c>
      <c r="E13" s="10" t="n">
        <v>107500</v>
      </c>
      <c r="F13" s="3" t="n">
        <v>2</v>
      </c>
      <c r="G13" s="3" t="inlineStr">
        <is>
          <t>Pune</t>
        </is>
      </c>
      <c r="H13" s="10">
        <f>IF(F13&gt;=4,E13*0.1,0)</f>
        <v/>
      </c>
    </row>
    <row r="14">
      <c r="A14" s="3" t="inlineStr">
        <is>
          <t>Karan Menon</t>
        </is>
      </c>
      <c r="B14" s="3" t="inlineStr">
        <is>
          <t>Marketing</t>
        </is>
      </c>
      <c r="C14" s="3" t="inlineStr">
        <is>
          <t>Performance Marketer</t>
        </is>
      </c>
      <c r="D14" s="9" t="n">
        <v>43854</v>
      </c>
      <c r="E14" s="10" t="n">
        <v>87500</v>
      </c>
      <c r="F14" s="3" t="n">
        <v>4</v>
      </c>
      <c r="G14" s="3" t="inlineStr">
        <is>
          <t>Nagpur</t>
        </is>
      </c>
      <c r="H14" s="10">
        <f>IF(F14&gt;=4,E14*0.1,0)</f>
        <v/>
      </c>
    </row>
    <row r="15">
      <c r="A15" s="3" t="inlineStr">
        <is>
          <t>Pooja Gupta</t>
        </is>
      </c>
      <c r="B15" s="3" t="inlineStr">
        <is>
          <t>HR</t>
        </is>
      </c>
      <c r="C15" s="3" t="inlineStr">
        <is>
          <t>HR Manager</t>
        </is>
      </c>
      <c r="D15" s="9" t="n">
        <v>45973</v>
      </c>
      <c r="E15" s="10" t="n">
        <v>35000</v>
      </c>
      <c r="F15" s="3" t="n">
        <v>5</v>
      </c>
      <c r="G15" s="3" t="inlineStr">
        <is>
          <t>Bengaluru</t>
        </is>
      </c>
      <c r="H15" s="10">
        <f>IF(F15&gt;=4,E15*0.1,0)</f>
        <v/>
      </c>
    </row>
    <row r="16">
      <c r="A16" s="3" t="inlineStr">
        <is>
          <t>Siddharth Mishra</t>
        </is>
      </c>
      <c r="B16" s="3" t="inlineStr">
        <is>
          <t>Finance</t>
        </is>
      </c>
      <c r="C16" s="3" t="inlineStr">
        <is>
          <t>Financial Analyst</t>
        </is>
      </c>
      <c r="D16" s="9" t="n">
        <v>44045</v>
      </c>
      <c r="E16" s="10" t="n">
        <v>77500</v>
      </c>
      <c r="F16" s="3" t="n">
        <v>5</v>
      </c>
      <c r="G16" s="3" t="inlineStr">
        <is>
          <t>Mumbai</t>
        </is>
      </c>
      <c r="H16" s="10">
        <f>IF(F16&gt;=4,E16*0.1,0)</f>
        <v/>
      </c>
    </row>
    <row r="17">
      <c r="A17" s="3" t="inlineStr">
        <is>
          <t>Meera Bhosale</t>
        </is>
      </c>
      <c r="B17" s="3" t="inlineStr">
        <is>
          <t>Engineering</t>
        </is>
      </c>
      <c r="C17" s="3" t="inlineStr">
        <is>
          <t>Senior Software Engineer</t>
        </is>
      </c>
      <c r="D17" s="9" t="n">
        <v>45872</v>
      </c>
      <c r="E17" s="10" t="n">
        <v>85000</v>
      </c>
      <c r="F17" s="3" t="n">
        <v>4</v>
      </c>
      <c r="G17" s="3" t="inlineStr">
        <is>
          <t>Delhi</t>
        </is>
      </c>
      <c r="H17" s="10">
        <f>IF(F17&gt;=4,E17*0.1,0)</f>
        <v/>
      </c>
    </row>
    <row r="18">
      <c r="A18" s="3" t="inlineStr">
        <is>
          <t>Nikhil Kulkarni</t>
        </is>
      </c>
      <c r="B18" s="3" t="inlineStr">
        <is>
          <t>Sales</t>
        </is>
      </c>
      <c r="C18" s="3" t="inlineStr">
        <is>
          <t>Inside Sales Rep</t>
        </is>
      </c>
      <c r="D18" s="9" t="n">
        <v>45909</v>
      </c>
      <c r="E18" s="10" t="n">
        <v>100000</v>
      </c>
      <c r="F18" s="3" t="n">
        <v>5</v>
      </c>
      <c r="G18" s="3" t="inlineStr">
        <is>
          <t>Nagpur</t>
        </is>
      </c>
      <c r="H18" s="10">
        <f>IF(F18&gt;=4,E18*0.1,0)</f>
        <v/>
      </c>
    </row>
    <row r="19">
      <c r="A19" s="3" t="inlineStr">
        <is>
          <t>Tanvi Nair</t>
        </is>
      </c>
      <c r="B19" s="3" t="inlineStr">
        <is>
          <t>Marketing</t>
        </is>
      </c>
      <c r="C19" s="3" t="inlineStr">
        <is>
          <t>Brand Manager</t>
        </is>
      </c>
      <c r="D19" s="9" t="n">
        <v>44233</v>
      </c>
      <c r="E19" s="10" t="n">
        <v>62500</v>
      </c>
      <c r="F19" s="3" t="n">
        <v>3</v>
      </c>
      <c r="G19" s="3" t="inlineStr">
        <is>
          <t>Mumbai</t>
        </is>
      </c>
      <c r="H19" s="10">
        <f>IF(F19&gt;=4,E19*0.1,0)</f>
        <v/>
      </c>
    </row>
    <row r="20">
      <c r="A20" s="3" t="inlineStr">
        <is>
          <t>Rahul Menon</t>
        </is>
      </c>
      <c r="B20" s="3" t="inlineStr">
        <is>
          <t>HR</t>
        </is>
      </c>
      <c r="C20" s="3" t="inlineStr">
        <is>
          <t>HR Executive</t>
        </is>
      </c>
      <c r="D20" s="9" t="n">
        <v>44326</v>
      </c>
      <c r="E20" s="10" t="n">
        <v>35000</v>
      </c>
      <c r="F20" s="3" t="n">
        <v>2</v>
      </c>
      <c r="G20" s="3" t="inlineStr">
        <is>
          <t>Delhi</t>
        </is>
      </c>
      <c r="H20" s="10">
        <f>IF(F20&gt;=4,E20*0.1,0)</f>
        <v/>
      </c>
    </row>
    <row r="21">
      <c r="A21" s="3" t="inlineStr">
        <is>
          <t>Shreya Mishra</t>
        </is>
      </c>
      <c r="B21" s="3" t="inlineStr">
        <is>
          <t>Finance</t>
        </is>
      </c>
      <c r="C21" s="3" t="inlineStr">
        <is>
          <t>Payroll Executive</t>
        </is>
      </c>
      <c r="D21" s="9" t="n">
        <v>45374</v>
      </c>
      <c r="E21" s="10" t="n">
        <v>125000</v>
      </c>
      <c r="F21" s="3" t="n">
        <v>5</v>
      </c>
      <c r="G21" s="3" t="inlineStr">
        <is>
          <t>Nagpur</t>
        </is>
      </c>
      <c r="H21" s="10">
        <f>IF(F21&gt;=4,E21*0.1,0)</f>
        <v/>
      </c>
    </row>
    <row r="22">
      <c r="A22" s="3" t="inlineStr">
        <is>
          <t>Manav Kapoor</t>
        </is>
      </c>
      <c r="B22" s="3" t="inlineStr">
        <is>
          <t>Engineering</t>
        </is>
      </c>
      <c r="C22" s="3" t="inlineStr">
        <is>
          <t>Software Engineer</t>
        </is>
      </c>
      <c r="D22" s="9" t="n">
        <v>45851</v>
      </c>
      <c r="E22" s="10" t="n">
        <v>122500</v>
      </c>
      <c r="F22" s="3" t="n">
        <v>2</v>
      </c>
      <c r="G22" s="3" t="inlineStr">
        <is>
          <t>Nagpur</t>
        </is>
      </c>
      <c r="H22" s="10">
        <f>IF(F22&gt;=4,E22*0.1,0)</f>
        <v/>
      </c>
    </row>
    <row r="23">
      <c r="A23" s="3" t="inlineStr">
        <is>
          <t>Divya Patil</t>
        </is>
      </c>
      <c r="B23" s="3" t="inlineStr">
        <is>
          <t>Sales</t>
        </is>
      </c>
      <c r="C23" s="3" t="inlineStr">
        <is>
          <t>Sales Lead</t>
        </is>
      </c>
      <c r="D23" s="9" t="n">
        <v>44599</v>
      </c>
      <c r="E23" s="10" t="n">
        <v>105000</v>
      </c>
      <c r="F23" s="3" t="n">
        <v>3</v>
      </c>
      <c r="G23" s="3" t="inlineStr">
        <is>
          <t>Bengaluru</t>
        </is>
      </c>
      <c r="H23" s="10">
        <f>IF(F23&gt;=4,E23*0.1,0)</f>
        <v/>
      </c>
    </row>
    <row r="24">
      <c r="A24" s="3" t="inlineStr">
        <is>
          <t>Yash Patil</t>
        </is>
      </c>
      <c r="B24" s="3" t="inlineStr">
        <is>
          <t>Marketing</t>
        </is>
      </c>
      <c r="C24" s="3" t="inlineStr">
        <is>
          <t>Social Media Exec</t>
        </is>
      </c>
      <c r="D24" s="9" t="n">
        <v>43849</v>
      </c>
      <c r="E24" s="10" t="n">
        <v>62500</v>
      </c>
      <c r="F24" s="3" t="n">
        <v>4</v>
      </c>
      <c r="G24" s="3" t="inlineStr">
        <is>
          <t>Bengaluru</t>
        </is>
      </c>
      <c r="H24" s="10">
        <f>IF(F24&gt;=4,E24*0.1,0)</f>
        <v/>
      </c>
    </row>
    <row r="25">
      <c r="A25" s="3" t="inlineStr">
        <is>
          <t>Kavya Sharma</t>
        </is>
      </c>
      <c r="B25" s="3" t="inlineStr">
        <is>
          <t>HR</t>
        </is>
      </c>
      <c r="C25" s="3" t="inlineStr">
        <is>
          <t>L&amp;D Executive</t>
        </is>
      </c>
      <c r="D25" s="9" t="n">
        <v>43941</v>
      </c>
      <c r="E25" s="10" t="n">
        <v>65000</v>
      </c>
      <c r="F25" s="3" t="n">
        <v>2</v>
      </c>
      <c r="G25" s="3" t="inlineStr">
        <is>
          <t>Bengaluru</t>
        </is>
      </c>
      <c r="H25" s="10">
        <f>IF(F25&gt;=4,E25*0.1,0)</f>
        <v/>
      </c>
    </row>
    <row r="26">
      <c r="A26" s="3" t="inlineStr">
        <is>
          <t>Omkar Mishra</t>
        </is>
      </c>
      <c r="B26" s="3" t="inlineStr">
        <is>
          <t>Finance</t>
        </is>
      </c>
      <c r="C26" s="3" t="inlineStr">
        <is>
          <t>Payroll Executive</t>
        </is>
      </c>
      <c r="D26" s="9" t="n">
        <v>45508</v>
      </c>
      <c r="E26" s="10" t="n">
        <v>62500</v>
      </c>
      <c r="F26" s="3" t="n">
        <v>5</v>
      </c>
      <c r="G26" s="3" t="inlineStr">
        <is>
          <t>Hyderabad</t>
        </is>
      </c>
      <c r="H26" s="10">
        <f>IF(F26&gt;=4,E26*0.1,0)</f>
        <v/>
      </c>
    </row>
    <row r="27">
      <c r="A27" s="3" t="inlineStr">
        <is>
          <t>Ritika Menon</t>
        </is>
      </c>
      <c r="B27" s="3" t="inlineStr">
        <is>
          <t>Engineering</t>
        </is>
      </c>
      <c r="C27" s="3" t="inlineStr">
        <is>
          <t>DevOps Engineer</t>
        </is>
      </c>
      <c r="D27" s="9" t="n">
        <v>44962</v>
      </c>
      <c r="E27" s="10" t="n">
        <v>75000</v>
      </c>
      <c r="F27" s="3" t="n">
        <v>4</v>
      </c>
      <c r="G27" s="3" t="inlineStr">
        <is>
          <t>Nagpur</t>
        </is>
      </c>
      <c r="H27" s="10">
        <f>IF(F27&gt;=4,E27*0.1,0)</f>
        <v/>
      </c>
    </row>
    <row r="28">
      <c r="A28" s="3" t="inlineStr">
        <is>
          <t>Sahil Menon</t>
        </is>
      </c>
      <c r="B28" s="3" t="inlineStr">
        <is>
          <t>Sales</t>
        </is>
      </c>
      <c r="C28" s="3" t="inlineStr">
        <is>
          <t>Inside Sales Rep</t>
        </is>
      </c>
      <c r="D28" s="9" t="n">
        <v>44440</v>
      </c>
      <c r="E28" s="10" t="n">
        <v>67500</v>
      </c>
      <c r="F28" s="3" t="n">
        <v>5</v>
      </c>
      <c r="G28" s="3" t="inlineStr">
        <is>
          <t>Delhi</t>
        </is>
      </c>
      <c r="H28" s="10">
        <f>IF(F28&gt;=4,E28*0.1,0)</f>
        <v/>
      </c>
    </row>
    <row r="29">
      <c r="A29" s="3" t="inlineStr">
        <is>
          <t>Aisha Kulkarni</t>
        </is>
      </c>
      <c r="B29" s="3" t="inlineStr">
        <is>
          <t>Marketing</t>
        </is>
      </c>
      <c r="C29" s="3" t="inlineStr">
        <is>
          <t>Performance Marketer</t>
        </is>
      </c>
      <c r="D29" s="9" t="n">
        <v>43718</v>
      </c>
      <c r="E29" s="10" t="n">
        <v>52500</v>
      </c>
      <c r="F29" s="3" t="n">
        <v>4</v>
      </c>
      <c r="G29" s="3" t="inlineStr">
        <is>
          <t>Bengaluru</t>
        </is>
      </c>
      <c r="H29" s="10">
        <f>IF(F29&gt;=4,E29*0.1,0)</f>
        <v/>
      </c>
    </row>
    <row r="30">
      <c r="A30" s="3" t="inlineStr">
        <is>
          <t>Varun Chavan</t>
        </is>
      </c>
      <c r="B30" s="3" t="inlineStr">
        <is>
          <t>HR</t>
        </is>
      </c>
      <c r="C30" s="3" t="inlineStr">
        <is>
          <t>L&amp;D Executive</t>
        </is>
      </c>
      <c r="D30" s="9" t="n">
        <v>44372</v>
      </c>
      <c r="E30" s="10" t="n">
        <v>52500</v>
      </c>
      <c r="F30" s="3" t="n">
        <v>4</v>
      </c>
      <c r="G30" s="3" t="inlineStr">
        <is>
          <t>Chennai</t>
        </is>
      </c>
      <c r="H30" s="10">
        <f>IF(F30&gt;=4,E30*0.1,0)</f>
        <v/>
      </c>
    </row>
    <row r="31">
      <c r="A31" s="3" t="inlineStr">
        <is>
          <t>Nandini Rao</t>
        </is>
      </c>
      <c r="B31" s="3" t="inlineStr">
        <is>
          <t>Finance</t>
        </is>
      </c>
      <c r="C31" s="3" t="inlineStr">
        <is>
          <t>Auditor</t>
        </is>
      </c>
      <c r="D31" s="9" t="n">
        <v>44860</v>
      </c>
      <c r="E31" s="10" t="n">
        <v>75000</v>
      </c>
      <c r="F31" s="3" t="n">
        <v>5</v>
      </c>
      <c r="G31" s="3" t="inlineStr">
        <is>
          <t>Chennai</t>
        </is>
      </c>
      <c r="H31" s="10">
        <f>IF(F31&gt;=4,E31*0.1,0)</f>
        <v/>
      </c>
    </row>
    <row r="32">
      <c r="A32" s="3" t="inlineStr">
        <is>
          <t>Harsh Nair</t>
        </is>
      </c>
      <c r="B32" s="3" t="inlineStr">
        <is>
          <t>Engineering</t>
        </is>
      </c>
      <c r="C32" s="3" t="inlineStr">
        <is>
          <t>DevOps Engineer</t>
        </is>
      </c>
      <c r="D32" s="9" t="n">
        <v>44820</v>
      </c>
      <c r="E32" s="10" t="n">
        <v>115000</v>
      </c>
      <c r="F32" s="3" t="n">
        <v>4</v>
      </c>
      <c r="G32" s="3" t="inlineStr">
        <is>
          <t>Pune</t>
        </is>
      </c>
      <c r="H32" s="10">
        <f>IF(F32&gt;=4,E32*0.1,0)</f>
        <v/>
      </c>
    </row>
    <row r="33">
      <c r="A33" s="3" t="inlineStr">
        <is>
          <t>Simran Menon</t>
        </is>
      </c>
      <c r="B33" s="3" t="inlineStr">
        <is>
          <t>Sales</t>
        </is>
      </c>
      <c r="C33" s="3" t="inlineStr">
        <is>
          <t>Inside Sales Rep</t>
        </is>
      </c>
      <c r="D33" s="9" t="n">
        <v>45039</v>
      </c>
      <c r="E33" s="10" t="n">
        <v>90000</v>
      </c>
      <c r="F33" s="3" t="n">
        <v>4</v>
      </c>
      <c r="G33" s="3" t="inlineStr">
        <is>
          <t>Nagpur</t>
        </is>
      </c>
      <c r="H33" s="10">
        <f>IF(F33&gt;=4,E33*0.1,0)</f>
        <v/>
      </c>
    </row>
    <row r="34">
      <c r="A34" s="3" t="inlineStr">
        <is>
          <t>Dev Chavan</t>
        </is>
      </c>
      <c r="B34" s="3" t="inlineStr">
        <is>
          <t>Marketing</t>
        </is>
      </c>
      <c r="C34" s="3" t="inlineStr">
        <is>
          <t>Performance Marketer</t>
        </is>
      </c>
      <c r="D34" s="9" t="n">
        <v>43925</v>
      </c>
      <c r="E34" s="10" t="n">
        <v>75000</v>
      </c>
      <c r="F34" s="3" t="n">
        <v>4</v>
      </c>
      <c r="G34" s="3" t="inlineStr">
        <is>
          <t>Bengaluru</t>
        </is>
      </c>
      <c r="H34" s="10">
        <f>IF(F34&gt;=4,E34*0.1,0)</f>
        <v/>
      </c>
    </row>
    <row r="35">
      <c r="A35" s="3" t="inlineStr">
        <is>
          <t>Anjali Menon</t>
        </is>
      </c>
      <c r="B35" s="3" t="inlineStr">
        <is>
          <t>HR</t>
        </is>
      </c>
      <c r="C35" s="3" t="inlineStr">
        <is>
          <t>Recruiter</t>
        </is>
      </c>
      <c r="D35" s="9" t="n">
        <v>43698</v>
      </c>
      <c r="E35" s="10" t="n">
        <v>62500</v>
      </c>
      <c r="F35" s="3" t="n">
        <v>5</v>
      </c>
      <c r="G35" s="3" t="inlineStr">
        <is>
          <t>Pune</t>
        </is>
      </c>
      <c r="H35" s="10">
        <f>IF(F35&gt;=4,E35*0.1,0)</f>
        <v/>
      </c>
    </row>
    <row r="36">
      <c r="A36" s="3" t="inlineStr">
        <is>
          <t>Aman Bhosale</t>
        </is>
      </c>
      <c r="B36" s="3" t="inlineStr">
        <is>
          <t>Finance</t>
        </is>
      </c>
      <c r="C36" s="3" t="inlineStr">
        <is>
          <t>Accounts Executive</t>
        </is>
      </c>
      <c r="D36" s="9" t="n">
        <v>44779</v>
      </c>
      <c r="E36" s="10" t="n">
        <v>112500</v>
      </c>
      <c r="F36" s="3" t="n">
        <v>5</v>
      </c>
      <c r="G36" s="3" t="inlineStr">
        <is>
          <t>Bengaluru</t>
        </is>
      </c>
      <c r="H36" s="10">
        <f>IF(F36&gt;=4,E36*0.1,0)</f>
        <v/>
      </c>
    </row>
    <row r="37">
      <c r="A37" s="3" t="inlineStr">
        <is>
          <t>Trisha Bhosale</t>
        </is>
      </c>
      <c r="B37" s="3" t="inlineStr">
        <is>
          <t>Engineering</t>
        </is>
      </c>
      <c r="C37" s="3" t="inlineStr">
        <is>
          <t>Software Engineer</t>
        </is>
      </c>
      <c r="D37" s="9" t="n">
        <v>46227</v>
      </c>
      <c r="E37" s="10" t="n">
        <v>72500</v>
      </c>
      <c r="F37" s="3" t="n">
        <v>4</v>
      </c>
      <c r="G37" s="3" t="inlineStr">
        <is>
          <t>Mumbai</t>
        </is>
      </c>
      <c r="H37" s="10">
        <f>IF(F37&gt;=4,E37*0.1,0)</f>
        <v/>
      </c>
    </row>
    <row r="38">
      <c r="A38" s="3" t="inlineStr">
        <is>
          <t>Gaurav Sharma</t>
        </is>
      </c>
      <c r="B38" s="3" t="inlineStr">
        <is>
          <t>Sales</t>
        </is>
      </c>
      <c r="C38" s="3" t="inlineStr">
        <is>
          <t>Account Manager</t>
        </is>
      </c>
      <c r="D38" s="9" t="n">
        <v>44484</v>
      </c>
      <c r="E38" s="10" t="n">
        <v>57500</v>
      </c>
      <c r="F38" s="3" t="n">
        <v>4</v>
      </c>
      <c r="G38" s="3" t="inlineStr">
        <is>
          <t>Delhi</t>
        </is>
      </c>
      <c r="H38" s="10">
        <f>IF(F38&gt;=4,E38*0.1,0)</f>
        <v/>
      </c>
    </row>
    <row r="39">
      <c r="A39" s="3" t="inlineStr">
        <is>
          <t>Sakshi Chavan</t>
        </is>
      </c>
      <c r="B39" s="3" t="inlineStr">
        <is>
          <t>Marketing</t>
        </is>
      </c>
      <c r="C39" s="3" t="inlineStr">
        <is>
          <t>Brand Manager</t>
        </is>
      </c>
      <c r="D39" s="9" t="n">
        <v>44457</v>
      </c>
      <c r="E39" s="10" t="n">
        <v>60000</v>
      </c>
      <c r="F39" s="3" t="n">
        <v>1</v>
      </c>
      <c r="G39" s="3" t="inlineStr">
        <is>
          <t>Chennai</t>
        </is>
      </c>
      <c r="H39" s="10">
        <f>IF(F39&gt;=4,E39*0.1,0)</f>
        <v/>
      </c>
    </row>
    <row r="40">
      <c r="A40" s="3" t="inlineStr">
        <is>
          <t>Pranav Agarwal</t>
        </is>
      </c>
      <c r="B40" s="3" t="inlineStr">
        <is>
          <t>HR</t>
        </is>
      </c>
      <c r="C40" s="3" t="inlineStr">
        <is>
          <t>HR Executive</t>
        </is>
      </c>
      <c r="D40" s="9" t="n">
        <v>44405</v>
      </c>
      <c r="E40" s="10" t="n">
        <v>50000</v>
      </c>
      <c r="F40" s="3" t="n">
        <v>5</v>
      </c>
      <c r="G40" s="3" t="inlineStr">
        <is>
          <t>Mumbai</t>
        </is>
      </c>
      <c r="H40" s="10">
        <f>IF(F40&gt;=4,E40*0.1,0)</f>
        <v/>
      </c>
    </row>
    <row r="41">
      <c r="A41" s="3" t="inlineStr">
        <is>
          <t>Ira Verma</t>
        </is>
      </c>
      <c r="B41" s="3" t="inlineStr">
        <is>
          <t>Finance</t>
        </is>
      </c>
      <c r="C41" s="3" t="inlineStr">
        <is>
          <t>Accounts Executive</t>
        </is>
      </c>
      <c r="D41" s="9" t="n">
        <v>44698</v>
      </c>
      <c r="E41" s="10" t="n">
        <v>82500</v>
      </c>
      <c r="F41" s="3" t="n">
        <v>5</v>
      </c>
      <c r="G41" s="3" t="inlineStr">
        <is>
          <t>Bengaluru</t>
        </is>
      </c>
      <c r="H41" s="10">
        <f>IF(F41&gt;=4,E41*0.1,0)</f>
        <v/>
      </c>
    </row>
    <row r="42">
      <c r="A42" s="3" t="inlineStr">
        <is>
          <t>Abhishek Pawar</t>
        </is>
      </c>
      <c r="B42" s="3" t="inlineStr">
        <is>
          <t>Engineering</t>
        </is>
      </c>
      <c r="C42" s="3" t="inlineStr">
        <is>
          <t>QA Engineer</t>
        </is>
      </c>
      <c r="D42" s="9" t="n">
        <v>45718</v>
      </c>
      <c r="E42" s="10" t="n">
        <v>177500</v>
      </c>
      <c r="F42" s="3" t="n">
        <v>3</v>
      </c>
      <c r="G42" s="3" t="inlineStr">
        <is>
          <t>Hyderabad</t>
        </is>
      </c>
      <c r="H42" s="10">
        <f>IF(F42&gt;=4,E42*0.1,0)</f>
        <v/>
      </c>
    </row>
    <row r="43">
      <c r="A43" s="3" t="inlineStr">
        <is>
          <t>Sanya Agarwal</t>
        </is>
      </c>
      <c r="B43" s="3" t="inlineStr">
        <is>
          <t>Sales</t>
        </is>
      </c>
      <c r="C43" s="3" t="inlineStr">
        <is>
          <t>Business Dev Manager</t>
        </is>
      </c>
      <c r="D43" s="9" t="n">
        <v>45905</v>
      </c>
      <c r="E43" s="10" t="n">
        <v>57500</v>
      </c>
      <c r="F43" s="3" t="n">
        <v>4</v>
      </c>
      <c r="G43" s="3" t="inlineStr">
        <is>
          <t>Pune</t>
        </is>
      </c>
      <c r="H43" s="10">
        <f>IF(F43&gt;=4,E43*0.1,0)</f>
        <v/>
      </c>
    </row>
    <row r="44">
      <c r="A44" s="3" t="inlineStr">
        <is>
          <t>Vikram Mehta</t>
        </is>
      </c>
      <c r="B44" s="3" t="inlineStr">
        <is>
          <t>Marketing</t>
        </is>
      </c>
      <c r="C44" s="3" t="inlineStr">
        <is>
          <t>Brand Manager</t>
        </is>
      </c>
      <c r="D44" s="9" t="n">
        <v>43530</v>
      </c>
      <c r="E44" s="10" t="n">
        <v>62500</v>
      </c>
      <c r="F44" s="3" t="n">
        <v>4</v>
      </c>
      <c r="G44" s="3" t="inlineStr">
        <is>
          <t>Nagpur</t>
        </is>
      </c>
      <c r="H44" s="10">
        <f>IF(F44&gt;=4,E44*0.1,0)</f>
        <v/>
      </c>
    </row>
    <row r="45">
      <c r="A45" s="3" t="inlineStr">
        <is>
          <t>Ruchi Pawar</t>
        </is>
      </c>
      <c r="B45" s="3" t="inlineStr">
        <is>
          <t>HR</t>
        </is>
      </c>
      <c r="C45" s="3" t="inlineStr">
        <is>
          <t>HR Executive</t>
        </is>
      </c>
      <c r="D45" s="9" t="n">
        <v>43638</v>
      </c>
      <c r="E45" s="10" t="n">
        <v>75000</v>
      </c>
      <c r="F45" s="3" t="n">
        <v>4</v>
      </c>
      <c r="G45" s="3" t="inlineStr">
        <is>
          <t>Hyderabad</t>
        </is>
      </c>
      <c r="H45" s="10">
        <f>IF(F45&gt;=4,E45*0.1,0)</f>
        <v/>
      </c>
    </row>
    <row r="46">
      <c r="A46" s="3" t="inlineStr">
        <is>
          <t>Sameer Pawar</t>
        </is>
      </c>
      <c r="B46" s="3" t="inlineStr">
        <is>
          <t>Finance</t>
        </is>
      </c>
      <c r="C46" s="3" t="inlineStr">
        <is>
          <t>Accounts Executive</t>
        </is>
      </c>
      <c r="D46" s="9" t="n">
        <v>43562</v>
      </c>
      <c r="E46" s="10" t="n">
        <v>87500</v>
      </c>
      <c r="F46" s="3" t="n">
        <v>1</v>
      </c>
      <c r="G46" s="3" t="inlineStr">
        <is>
          <t>Pune</t>
        </is>
      </c>
      <c r="H46" s="10">
        <f>IF(F46&gt;=4,E46*0.1,0)</f>
        <v/>
      </c>
    </row>
    <row r="47">
      <c r="A47" s="3" t="inlineStr">
        <is>
          <t>Payal Kapoor</t>
        </is>
      </c>
      <c r="B47" s="3" t="inlineStr">
        <is>
          <t>Engineering</t>
        </is>
      </c>
      <c r="C47" s="3" t="inlineStr">
        <is>
          <t>Tech Lead</t>
        </is>
      </c>
      <c r="D47" s="9" t="n">
        <v>43511</v>
      </c>
      <c r="E47" s="10" t="n">
        <v>110000</v>
      </c>
      <c r="F47" s="3" t="n">
        <v>4</v>
      </c>
      <c r="G47" s="3" t="inlineStr">
        <is>
          <t>Delhi</t>
        </is>
      </c>
      <c r="H47" s="10">
        <f>IF(F47&gt;=4,E47*0.1,0)</f>
        <v/>
      </c>
    </row>
    <row r="48">
      <c r="A48" s="3" t="inlineStr">
        <is>
          <t>Akash Agarwal</t>
        </is>
      </c>
      <c r="B48" s="3" t="inlineStr">
        <is>
          <t>Sales</t>
        </is>
      </c>
      <c r="C48" s="3" t="inlineStr">
        <is>
          <t>Business Dev Manager</t>
        </is>
      </c>
      <c r="D48" s="9" t="n">
        <v>44904</v>
      </c>
      <c r="E48" s="10" t="n">
        <v>105000</v>
      </c>
      <c r="F48" s="3" t="n">
        <v>4</v>
      </c>
      <c r="G48" s="3" t="inlineStr">
        <is>
          <t>Chennai</t>
        </is>
      </c>
      <c r="H48" s="10">
        <f>IF(F48&gt;=4,E48*0.1,0)</f>
        <v/>
      </c>
    </row>
    <row r="49">
      <c r="A49" s="3" t="inlineStr">
        <is>
          <t>Bhavna Agarwal</t>
        </is>
      </c>
      <c r="B49" s="3" t="inlineStr">
        <is>
          <t>Marketing</t>
        </is>
      </c>
      <c r="C49" s="3" t="inlineStr">
        <is>
          <t>Brand Manager</t>
        </is>
      </c>
      <c r="D49" s="9" t="n">
        <v>44912</v>
      </c>
      <c r="E49" s="10" t="n">
        <v>80000</v>
      </c>
      <c r="F49" s="3" t="n">
        <v>5</v>
      </c>
      <c r="G49" s="3" t="inlineStr">
        <is>
          <t>Mumbai</t>
        </is>
      </c>
      <c r="H49" s="10">
        <f>IF(F49&gt;=4,E49*0.1,0)</f>
        <v/>
      </c>
    </row>
    <row r="50">
      <c r="A50" s="3" t="inlineStr">
        <is>
          <t>Rohit Kulkarni</t>
        </is>
      </c>
      <c r="B50" s="3" t="inlineStr">
        <is>
          <t>HR</t>
        </is>
      </c>
      <c r="C50" s="3" t="inlineStr">
        <is>
          <t>HR Manager</t>
        </is>
      </c>
      <c r="D50" s="9" t="n">
        <v>45701</v>
      </c>
      <c r="E50" s="10" t="n">
        <v>70000</v>
      </c>
      <c r="F50" s="3" t="n">
        <v>3</v>
      </c>
      <c r="G50" s="3" t="inlineStr">
        <is>
          <t>Nagpur</t>
        </is>
      </c>
      <c r="H50" s="10">
        <f>IF(F50&gt;=4,E50*0.1,0)</f>
        <v/>
      </c>
    </row>
    <row r="51">
      <c r="A51" s="3" t="inlineStr">
        <is>
          <t>Swara Singh</t>
        </is>
      </c>
      <c r="B51" s="3" t="inlineStr">
        <is>
          <t>Finance</t>
        </is>
      </c>
      <c r="C51" s="3" t="inlineStr">
        <is>
          <t>Financial Analyst</t>
        </is>
      </c>
      <c r="D51" s="9" t="n">
        <v>43943</v>
      </c>
      <c r="E51" s="10" t="n">
        <v>92500</v>
      </c>
      <c r="F51" s="3" t="n">
        <v>5</v>
      </c>
      <c r="G51" s="3" t="inlineStr">
        <is>
          <t>Chennai</t>
        </is>
      </c>
      <c r="H51" s="10">
        <f>IF(F51&gt;=4,E51*0.1,0)</f>
        <v/>
      </c>
    </row>
  </sheetData>
  <autoFilter ref="A1:H51"/>
  <conditionalFormatting sqref="F2:F51">
    <cfRule type="cellIs" priority="1" operator="greaterThanOrEqual" dxfId="0">
      <formula>4</formula>
    </cfRule>
    <cfRule type="cellIs" priority="2" operator="equal" dxfId="1">
      <formula>3</formula>
    </cfRule>
    <cfRule type="cellIs" priority="3" operator="lessThanOrEqual" dxfId="2">
      <formula>2</formula>
    </cfRule>
  </conditionalFormatting>
  <pageMargins left="0.75" right="0.75" top="1" bottom="1" header="0.5" footer="0.5"/>
  <pageSetup orientation="landscape" fitToHeight="0" fitToWidth="1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7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8" customWidth="1" min="3" max="3"/>
    <col width="12" customWidth="1" min="4" max="4"/>
  </cols>
  <sheetData>
    <row r="1">
      <c r="A1" s="13" t="inlineStr">
        <is>
          <t>Department</t>
        </is>
      </c>
      <c r="B1" s="13" t="inlineStr">
        <is>
          <t>Total Salary</t>
        </is>
      </c>
      <c r="C1" s="13" t="inlineStr">
        <is>
          <t>Average Salary</t>
        </is>
      </c>
      <c r="D1" s="13" t="inlineStr">
        <is>
          <t>Headcount</t>
        </is>
      </c>
    </row>
    <row r="2">
      <c r="A2" t="inlineStr">
        <is>
          <t>Engineering</t>
        </is>
      </c>
      <c r="B2" s="11">
        <f>SUMIF('Team Tracker'!$B$2:$B$51,A2,'Team Tracker'!$E$2:$E$51)</f>
        <v/>
      </c>
      <c r="C2" s="11">
        <f>AVERAGEIF('Team Tracker'!$B$2:$B$51,A2,'Team Tracker'!$E$2:$E$51)</f>
        <v/>
      </c>
      <c r="D2">
        <f>COUNTIF('Team Tracker'!$B$2:$B$51,A2)</f>
        <v/>
      </c>
    </row>
    <row r="3">
      <c r="A3" t="inlineStr">
        <is>
          <t>Sales</t>
        </is>
      </c>
      <c r="B3" s="11">
        <f>SUMIF('Team Tracker'!$B$2:$B$51,A3,'Team Tracker'!$E$2:$E$51)</f>
        <v/>
      </c>
      <c r="C3" s="11">
        <f>AVERAGEIF('Team Tracker'!$B$2:$B$51,A3,'Team Tracker'!$E$2:$E$51)</f>
        <v/>
      </c>
      <c r="D3">
        <f>COUNTIF('Team Tracker'!$B$2:$B$51,A3)</f>
        <v/>
      </c>
    </row>
    <row r="4">
      <c r="A4" t="inlineStr">
        <is>
          <t>Marketing</t>
        </is>
      </c>
      <c r="B4" s="11">
        <f>SUMIF('Team Tracker'!$B$2:$B$51,A4,'Team Tracker'!$E$2:$E$51)</f>
        <v/>
      </c>
      <c r="C4" s="11">
        <f>AVERAGEIF('Team Tracker'!$B$2:$B$51,A4,'Team Tracker'!$E$2:$E$51)</f>
        <v/>
      </c>
      <c r="D4">
        <f>COUNTIF('Team Tracker'!$B$2:$B$51,A4)</f>
        <v/>
      </c>
    </row>
    <row r="5">
      <c r="A5" t="inlineStr">
        <is>
          <t>HR</t>
        </is>
      </c>
      <c r="B5" s="11">
        <f>SUMIF('Team Tracker'!$B$2:$B$51,A5,'Team Tracker'!$E$2:$E$51)</f>
        <v/>
      </c>
      <c r="C5" s="11">
        <f>AVERAGEIF('Team Tracker'!$B$2:$B$51,A5,'Team Tracker'!$E$2:$E$51)</f>
        <v/>
      </c>
      <c r="D5">
        <f>COUNTIF('Team Tracker'!$B$2:$B$51,A5)</f>
        <v/>
      </c>
    </row>
    <row r="6">
      <c r="A6" t="inlineStr">
        <is>
          <t>Finance</t>
        </is>
      </c>
      <c r="B6" s="11">
        <f>SUMIF('Team Tracker'!$B$2:$B$51,A6,'Team Tracker'!$E$2:$E$51)</f>
        <v/>
      </c>
      <c r="C6" s="11">
        <f>AVERAGEIF('Team Tracker'!$B$2:$B$51,A6,'Team Tracker'!$E$2:$E$51)</f>
        <v/>
      </c>
      <c r="D6">
        <f>COUNTIF('Team Tracker'!$B$2:$B$51,A6)</f>
        <v/>
      </c>
    </row>
    <row r="7">
      <c r="A7" s="7" t="inlineStr">
        <is>
          <t>Grand Total</t>
        </is>
      </c>
      <c r="B7" s="12">
        <f>SUM(B2:B6)</f>
        <v/>
      </c>
      <c r="C7" s="12">
        <f>AVERAGE('Team Tracker'!E2:E51)</f>
        <v/>
      </c>
      <c r="D7" s="7">
        <f>SUM(D2:D6)</f>
        <v/>
      </c>
    </row>
  </sheetData>
  <pageMargins left="0.75" right="0.75" top="1" bottom="1" header="0.5" footer="0.5"/>
  <pageSetup orientation="landscape" fitToHeight="1" fitToWidth="1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2026-10-30T18:10:32Z</dcterms:created>
  <dcterms:modified xmlns:dcterms="http://purl.org/dc/terms/" xmlns:xsi="http://www.w3.org/2001/XMLSchema-instance" xsi:type="dcterms:W3CDTF">2026-10-30T18:11:59Z</dcterms:modified>
</cp:coreProperties>
</file>